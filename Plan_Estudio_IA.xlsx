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Estudio" sheetId="1" state="visible" r:id="rId3"/>
    <sheet name="Resumen" sheetId="2" state="visible" r:id="rId4"/>
  </sheets>
  <definedNames>
    <definedName function="false" hidden="true" localSheetId="0" name="_xlnm._FilterDatabase" vbProcedure="false">'Plan de Estudio'!$A$1:$J$42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<sst xmlns="http://schemas.openxmlformats.org/spreadsheetml/2006/main" count="391" uniqueCount="150">
  <si>
    <t xml:space="preserve">#</t>
  </si>
  <si>
    <t xml:space="preserve">Tarea</t>
  </si>
  <si>
    <t xml:space="preserve">Objetivo</t>
  </si>
  <si>
    <t xml:space="preserve">Semana</t>
  </si>
  <si>
    <t xml:space="preserve">Tipo</t>
  </si>
  <si>
    <t xml:space="preserve">Vence</t>
  </si>
  <si>
    <t xml:space="preserve">Framework</t>
  </si>
  <si>
    <t xml:space="preserve">Entregable</t>
  </si>
  <si>
    <t xml:space="preserve">Prioridad</t>
  </si>
  <si>
    <t xml:space="preserve">Estado</t>
  </si>
  <si>
    <t xml:space="preserve">NumPy esencial: arrays, broadcasting, vectorización</t>
  </si>
  <si>
    <t xml:space="preserve">Manipular arrays con soltura y entender broadcasting para escribir operaciones sin bucles.</t>
  </si>
  <si>
    <t xml:space="preserve">S1</t>
  </si>
  <si>
    <t xml:space="preserve">Teoría</t>
  </si>
  <si>
    <t xml:space="preserve">2026-06-28</t>
  </si>
  <si>
    <t xml:space="preserve">—</t>
  </si>
  <si>
    <t xml:space="preserve">No</t>
  </si>
  <si>
    <t xml:space="preserve">Alta</t>
  </si>
  <si>
    <t xml:space="preserve">Backlog</t>
  </si>
  <si>
    <t xml:space="preserve">Tensores: qué son y cómo se manipulan</t>
  </si>
  <si>
    <t xml:space="preserve">Comprender qué es un tensor, sus dimensiones y forma, y cómo se relaciona con un array de NumPy.</t>
  </si>
  <si>
    <t xml:space="preserve">Ambos</t>
  </si>
  <si>
    <t xml:space="preserve">Neurona, capas, activación, forward/backward</t>
  </si>
  <si>
    <t xml:space="preserve">Explicar con tus palabras cómo fluye la información en una red y qué hace cada componente.</t>
  </si>
  <si>
    <t xml:space="preserve">S2</t>
  </si>
  <si>
    <t xml:space="preserve">2026-07-05</t>
  </si>
  <si>
    <t xml:space="preserve">Descenso de gradiente sin matemática pesada</t>
  </si>
  <si>
    <t xml:space="preserve">Entender intuitivamente cómo aprende un modelo ajustando pesos para minimizar el error.</t>
  </si>
  <si>
    <t xml:space="preserve">Verificar entorno PyTorch + MindSpore en Colab</t>
  </si>
  <si>
    <t xml:space="preserve">Dejar un entorno funcional donde ambos frameworks importan y corren sin conflictos.</t>
  </si>
  <si>
    <t xml:space="preserve">Setup</t>
  </si>
  <si>
    <t xml:space="preserve">Media</t>
  </si>
  <si>
    <t xml:space="preserve">Notebook: tensores NumPy vs PyTorch vs MindSpore</t>
  </si>
  <si>
    <t xml:space="preserve">Producir tu primer entregable comparando operaciones básicas de tensores en los tres entornos.</t>
  </si>
  <si>
    <t xml:space="preserve">Sí</t>
  </si>
  <si>
    <t xml:space="preserve">Lab MindSpore: Introduction y API</t>
  </si>
  <si>
    <t xml:space="preserve">Conocer la estructura de la API de MindSpore: cómo se definen tensores, modelos y operaciones.</t>
  </si>
  <si>
    <t xml:space="preserve">S3</t>
  </si>
  <si>
    <t xml:space="preserve">Práctica</t>
  </si>
  <si>
    <t xml:space="preserve">2026-07-12</t>
  </si>
  <si>
    <t xml:space="preserve">MindSpore</t>
  </si>
  <si>
    <t xml:space="preserve">Tensores y autograd en MindSpore</t>
  </si>
  <si>
    <t xml:space="preserve">Entender cómo MindSpore calcula gradientes automáticamente y para qué sirve.</t>
  </si>
  <si>
    <t xml:space="preserve">Reimplementar en PyTorch: nn.Module, autograd, training loop</t>
  </si>
  <si>
    <t xml:space="preserve">Replicar lo mismo en PyTorch e identificar las equivalencias conceptuales entre ambos.</t>
  </si>
  <si>
    <t xml:space="preserve">PyTorch</t>
  </si>
  <si>
    <t xml:space="preserve">Tabla de equivalencias MindSpore ↔ PyTorch</t>
  </si>
  <si>
    <t xml:space="preserve">Crear una referencia propia que mapee clases y funciones equivalentes entre frameworks.</t>
  </si>
  <si>
    <t xml:space="preserve">Lab MindSpore: MNIST con red densa</t>
  </si>
  <si>
    <t xml:space="preserve">Entrenar tu primer modelo completo de principio a fin y entender cada etapa del proceso.</t>
  </si>
  <si>
    <t xml:space="preserve">S4</t>
  </si>
  <si>
    <t xml:space="preserve">2026-07-19</t>
  </si>
  <si>
    <t xml:space="preserve">MNIST con CNN pequeña en MindSpore</t>
  </si>
  <si>
    <t xml:space="preserve">Comparar el desempeño de una red densa vs una convolucional en la misma tarea.</t>
  </si>
  <si>
    <t xml:space="preserve">Reimplementar MNIST en PyTorch (densa + CNN)</t>
  </si>
  <si>
    <t xml:space="preserve">Reproducir ambos modelos en PyTorch y afianzar el flujo de trabajo del framework.</t>
  </si>
  <si>
    <t xml:space="preserve">S5</t>
  </si>
  <si>
    <t xml:space="preserve">2026-07-26</t>
  </si>
  <si>
    <t xml:space="preserve">Dominar el training loop: dataset, dataloader, loss, optimizer</t>
  </si>
  <si>
    <t xml:space="preserve">Entender a fondo cada pieza del bucle de entrenamiento y poder escribirlo desde cero.</t>
  </si>
  <si>
    <t xml:space="preserve">MNIST en ambos frameworks con gráficas accuracy/loss</t>
  </si>
  <si>
    <t xml:space="preserve">Entregar modelos funcionales con visualización de métricas que demuestren el aprendizaje.</t>
  </si>
  <si>
    <t xml:space="preserve">Nota comparativa MindSpore vs PyTorch (MNIST)</t>
  </si>
  <si>
    <t xml:space="preserve">Articular por escrito las diferencias prácticas que encontraste entre ambos frameworks.</t>
  </si>
  <si>
    <t xml:space="preserve">Lab MindSpore: Image Processing (ambas labs)</t>
  </si>
  <si>
    <t xml:space="preserve">Aplicar convoluciones a imágenes reales y entender el preprocesamiento de visión.</t>
  </si>
  <si>
    <t xml:space="preserve">S6</t>
  </si>
  <si>
    <t xml:space="preserve">2026-08-02</t>
  </si>
  <si>
    <t xml:space="preserve">Convoluciones, pooling, data augmentation</t>
  </si>
  <si>
    <t xml:space="preserve">Comprender por qué las CNN funcionan en imágenes y cómo el aumento de datos mejora el modelo.</t>
  </si>
  <si>
    <t xml:space="preserve">Reimplementar clasificador de imágenes en PyTorch</t>
  </si>
  <si>
    <t xml:space="preserve">Construir un clasificador de imágenes en PyTorch aplicando lo aprendido de CNNs.</t>
  </si>
  <si>
    <t xml:space="preserve">S7</t>
  </si>
  <si>
    <t xml:space="preserve">2026-08-09</t>
  </si>
  <si>
    <t xml:space="preserve">Clasificador de imágenes en ambos frameworks</t>
  </si>
  <si>
    <t xml:space="preserve">Entregar un clasificador funcional que demuestre dominio de visión por computadora básica.</t>
  </si>
  <si>
    <t xml:space="preserve">Nota comparativa CNNs</t>
  </si>
  <si>
    <t xml:space="preserve">Documentar diferencias de implementación de CNNs entre ambos frameworks.</t>
  </si>
  <si>
    <t xml:space="preserve">Lab MindSpore: NLP</t>
  </si>
  <si>
    <t xml:space="preserve">Tener tu primer contacto con datos de texto y entender cómo se procesan para un modelo.</t>
  </si>
  <si>
    <t xml:space="preserve">S8</t>
  </si>
  <si>
    <t xml:space="preserve">2026-08-16</t>
  </si>
  <si>
    <t xml:space="preserve">Tokenización y embeddings</t>
  </si>
  <si>
    <t xml:space="preserve">Entender cómo el texto se convierte en números que una red puede procesar.</t>
  </si>
  <si>
    <t xml:space="preserve">Modelo de texto básico (RNN o similar)</t>
  </si>
  <si>
    <t xml:space="preserve">Comprender cómo una red procesa secuencias y por qué el orden importa en el texto.</t>
  </si>
  <si>
    <t xml:space="preserve">S9</t>
  </si>
  <si>
    <t xml:space="preserve">2026-08-23</t>
  </si>
  <si>
    <t xml:space="preserve">Reimplementar tarea NLP en PyTorch</t>
  </si>
  <si>
    <t xml:space="preserve">Replicar el modelo de texto en PyTorch y consolidar el manejo de datos secuenciales.</t>
  </si>
  <si>
    <t xml:space="preserve">Clasificación de texto en ambos frameworks</t>
  </si>
  <si>
    <t xml:space="preserve">Entregar un clasificador de texto funcional que demuestre comprensión de NLP básico.</t>
  </si>
  <si>
    <t xml:space="preserve">Nota comparativa NLP</t>
  </si>
  <si>
    <t xml:space="preserve">Documentar cómo cada framework maneja texto, embeddings y secuencias.</t>
  </si>
  <si>
    <t xml:space="preserve">Mecanismo de atención y self-attention</t>
  </si>
  <si>
    <t xml:space="preserve">Entender la idea central de la atención: por qué revolucionó el deep learning moderno.</t>
  </si>
  <si>
    <t xml:space="preserve">S10</t>
  </si>
  <si>
    <t xml:space="preserve">2026-08-30</t>
  </si>
  <si>
    <t xml:space="preserve">Arquitectura encoder-decoder</t>
  </si>
  <si>
    <t xml:space="preserve">Comprender cómo se ensamblan los bloques de un Transformer completo.</t>
  </si>
  <si>
    <t xml:space="preserve">Lab MindSpore: Transformer</t>
  </si>
  <si>
    <t xml:space="preserve">Ver un Transformer funcionando en código y conectar la teoría con la implementación.</t>
  </si>
  <si>
    <t xml:space="preserve">S11</t>
  </si>
  <si>
    <t xml:space="preserve">2026-09-06</t>
  </si>
  <si>
    <t xml:space="preserve">Reimplementar Transformer en PyTorch</t>
  </si>
  <si>
    <t xml:space="preserve">Construir o adaptar un Transformer en PyTorch, el entregable técnico más exigente del plan.</t>
  </si>
  <si>
    <t xml:space="preserve">S12</t>
  </si>
  <si>
    <t xml:space="preserve">2026-09-13</t>
  </si>
  <si>
    <t xml:space="preserve">Transformer entrenado/fine-tuneado</t>
  </si>
  <si>
    <t xml:space="preserve">Entregar un Transformer funcional, pieza central de tu portafolio.</t>
  </si>
  <si>
    <t xml:space="preserve">Explicación escrita del mecanismo de atención</t>
  </si>
  <si>
    <t xml:space="preserve">Demostrar que entiendes la atención pudiendo explicarla con claridad por escrito.</t>
  </si>
  <si>
    <t xml:space="preserve">Lab MindSpore: Vision Transformer</t>
  </si>
  <si>
    <t xml:space="preserve">Entender cómo el Transformer se aplica a imágenes, integrando visión y atención.</t>
  </si>
  <si>
    <t xml:space="preserve">S13</t>
  </si>
  <si>
    <t xml:space="preserve">2026-09-20</t>
  </si>
  <si>
    <t xml:space="preserve">Reimplementar ViT en PyTorch</t>
  </si>
  <si>
    <t xml:space="preserve">Cerrar el ciclo técnico aplicando todo lo aprendido en un modelo de vanguardia.</t>
  </si>
  <si>
    <t xml:space="preserve">Pulir README del repositorio</t>
  </si>
  <si>
    <t xml:space="preserve">Presentar el portafolio con un README claro que explique qué hiciste y por qué.</t>
  </si>
  <si>
    <t xml:space="preserve">S14</t>
  </si>
  <si>
    <t xml:space="preserve">Portafolio</t>
  </si>
  <si>
    <t xml:space="preserve">2026-09-27</t>
  </si>
  <si>
    <t xml:space="preserve">Limpiar y ordenar notebooks</t>
  </si>
  <si>
    <t xml:space="preserve">Dejar los notebooks legibles y reproducibles para que cualquiera pueda seguirlos.</t>
  </si>
  <si>
    <t xml:space="preserve">Ordenar las notas comparativas</t>
  </si>
  <si>
    <t xml:space="preserve">Consolidar tus notas MindSpore vs PyTorch como un recurso coherente del portafolio.</t>
  </si>
  <si>
    <t xml:space="preserve">Portafolio presentable en GitHub</t>
  </si>
  <si>
    <t xml:space="preserve">Tener un repositorio público que demuestre tu dominio de ambos frameworks de principio a fin.</t>
  </si>
  <si>
    <t xml:space="preserve">Lab Huawei: Environment Setup on Huawei Cloud</t>
  </si>
  <si>
    <t xml:space="preserve">Saber operar el entorno de nube de Huawei (opcional, fuera de la ruta crítica).</t>
  </si>
  <si>
    <t xml:space="preserve">Opcional</t>
  </si>
  <si>
    <t xml:space="preserve">Infra</t>
  </si>
  <si>
    <t xml:space="preserve">Baja</t>
  </si>
  <si>
    <t xml:space="preserve">Lab Huawei: ModelArts</t>
  </si>
  <si>
    <t xml:space="preserve">Conocer la plataforma ModelArts para entrenamiento en la nube (opcional).</t>
  </si>
  <si>
    <t xml:space="preserve">Plan de Estudio IA — PyTorch &amp; MindSpore</t>
  </si>
  <si>
    <t xml:space="preserve">Duración</t>
  </si>
  <si>
    <t xml:space="preserve">14 semanas</t>
  </si>
  <si>
    <t xml:space="preserve">Inicio</t>
  </si>
  <si>
    <t xml:space="preserve">Lunes 22 jun 2026</t>
  </si>
  <si>
    <t xml:space="preserve">Cierre</t>
  </si>
  <si>
    <t xml:space="preserve">Domingo 27 sep 2026</t>
  </si>
  <si>
    <t xml:space="preserve">Ritmo</t>
  </si>
  <si>
    <t xml:space="preserve">3-5 h/semana</t>
  </si>
  <si>
    <t xml:space="preserve">Meta</t>
  </si>
  <si>
    <t xml:space="preserve">Portafolio en GitHub</t>
  </si>
  <si>
    <t xml:space="preserve">Total tareas</t>
  </si>
  <si>
    <t xml:space="preserve">Entregables</t>
  </si>
  <si>
    <t xml:space="preserve">Tareas Alta prioridad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</si>
</sst>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58"/>
    <col collapsed="false" customWidth="true" hidden="false" outlineLevel="0" max="4" min="4" style="0" width="9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 t="s">
        <v>17</v>
      </c>
      <c r="J2" s="2" t="s">
        <v>18</v>
      </c>
    </row>
    <row r="3" customFormat="false" ht="23.85" hidden="false" customHeight="false" outlineLevel="0" collapsed="false">
      <c r="A3" s="2" t="n">
        <v>2</v>
      </c>
      <c r="B3" s="3" t="s">
        <v>19</v>
      </c>
      <c r="C3" s="3" t="s">
        <v>20</v>
      </c>
      <c r="D3" s="2" t="s">
        <v>12</v>
      </c>
      <c r="E3" s="2" t="s">
        <v>13</v>
      </c>
      <c r="F3" s="2" t="s">
        <v>14</v>
      </c>
      <c r="G3" s="2" t="s">
        <v>21</v>
      </c>
      <c r="H3" s="2" t="s">
        <v>16</v>
      </c>
      <c r="I3" s="4" t="s">
        <v>17</v>
      </c>
      <c r="J3" s="2" t="s">
        <v>18</v>
      </c>
    </row>
    <row r="4" customFormat="false" ht="23.85" hidden="false" customHeight="false" outlineLevel="0" collapsed="false">
      <c r="A4" s="2" t="n">
        <v>3</v>
      </c>
      <c r="B4" s="3" t="s">
        <v>22</v>
      </c>
      <c r="C4" s="3" t="s">
        <v>23</v>
      </c>
      <c r="D4" s="2" t="s">
        <v>24</v>
      </c>
      <c r="E4" s="2" t="s">
        <v>13</v>
      </c>
      <c r="F4" s="2" t="s">
        <v>25</v>
      </c>
      <c r="G4" s="2" t="s">
        <v>15</v>
      </c>
      <c r="H4" s="2" t="s">
        <v>16</v>
      </c>
      <c r="I4" s="4" t="s">
        <v>17</v>
      </c>
      <c r="J4" s="2" t="s">
        <v>18</v>
      </c>
    </row>
    <row r="5" customFormat="false" ht="23.85" hidden="false" customHeight="false" outlineLevel="0" collapsed="false">
      <c r="A5" s="2" t="n">
        <v>4</v>
      </c>
      <c r="B5" s="3" t="s">
        <v>26</v>
      </c>
      <c r="C5" s="3" t="s">
        <v>27</v>
      </c>
      <c r="D5" s="2" t="s">
        <v>24</v>
      </c>
      <c r="E5" s="2" t="s">
        <v>13</v>
      </c>
      <c r="F5" s="2" t="s">
        <v>25</v>
      </c>
      <c r="G5" s="2" t="s">
        <v>15</v>
      </c>
      <c r="H5" s="2" t="s">
        <v>16</v>
      </c>
      <c r="I5" s="4" t="s">
        <v>17</v>
      </c>
      <c r="J5" s="2" t="s">
        <v>18</v>
      </c>
    </row>
    <row r="6" customFormat="false" ht="23.85" hidden="false" customHeight="false" outlineLevel="0" collapsed="false">
      <c r="A6" s="2" t="n">
        <v>5</v>
      </c>
      <c r="B6" s="3" t="s">
        <v>28</v>
      </c>
      <c r="C6" s="3" t="s">
        <v>29</v>
      </c>
      <c r="D6" s="2" t="s">
        <v>24</v>
      </c>
      <c r="E6" s="2" t="s">
        <v>30</v>
      </c>
      <c r="F6" s="2" t="s">
        <v>25</v>
      </c>
      <c r="G6" s="2" t="s">
        <v>21</v>
      </c>
      <c r="H6" s="2" t="s">
        <v>16</v>
      </c>
      <c r="I6" s="5" t="s">
        <v>31</v>
      </c>
      <c r="J6" s="2" t="s">
        <v>18</v>
      </c>
    </row>
    <row r="7" customFormat="false" ht="23.85" hidden="false" customHeight="false" outlineLevel="0" collapsed="false">
      <c r="A7" s="2" t="n">
        <v>6</v>
      </c>
      <c r="B7" s="3" t="s">
        <v>32</v>
      </c>
      <c r="C7" s="3" t="s">
        <v>33</v>
      </c>
      <c r="D7" s="2" t="s">
        <v>24</v>
      </c>
      <c r="E7" s="2" t="s">
        <v>7</v>
      </c>
      <c r="F7" s="2" t="s">
        <v>25</v>
      </c>
      <c r="G7" s="2" t="s">
        <v>21</v>
      </c>
      <c r="H7" s="6" t="s">
        <v>34</v>
      </c>
      <c r="I7" s="4" t="s">
        <v>17</v>
      </c>
      <c r="J7" s="2" t="s">
        <v>18</v>
      </c>
    </row>
    <row r="8" customFormat="false" ht="23.85" hidden="false" customHeight="false" outlineLevel="0" collapsed="false">
      <c r="A8" s="2" t="n">
        <v>7</v>
      </c>
      <c r="B8" s="3" t="s">
        <v>35</v>
      </c>
      <c r="C8" s="3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16</v>
      </c>
      <c r="I8" s="4" t="s">
        <v>17</v>
      </c>
      <c r="J8" s="2" t="s">
        <v>18</v>
      </c>
    </row>
    <row r="9" customFormat="false" ht="23.85" hidden="false" customHeight="false" outlineLevel="0" collapsed="false">
      <c r="A9" s="2" t="n">
        <v>8</v>
      </c>
      <c r="B9" s="3" t="s">
        <v>41</v>
      </c>
      <c r="C9" s="3" t="s">
        <v>42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16</v>
      </c>
      <c r="I9" s="5" t="s">
        <v>31</v>
      </c>
      <c r="J9" s="2" t="s">
        <v>18</v>
      </c>
    </row>
    <row r="10" customFormat="false" ht="23.85" hidden="false" customHeight="false" outlineLevel="0" collapsed="false">
      <c r="A10" s="2" t="n">
        <v>9</v>
      </c>
      <c r="B10" s="3" t="s">
        <v>43</v>
      </c>
      <c r="C10" s="3" t="s">
        <v>44</v>
      </c>
      <c r="D10" s="2" t="s">
        <v>37</v>
      </c>
      <c r="E10" s="2" t="s">
        <v>38</v>
      </c>
      <c r="F10" s="2" t="s">
        <v>39</v>
      </c>
      <c r="G10" s="2" t="s">
        <v>45</v>
      </c>
      <c r="H10" s="2" t="s">
        <v>16</v>
      </c>
      <c r="I10" s="4" t="s">
        <v>17</v>
      </c>
      <c r="J10" s="2" t="s">
        <v>18</v>
      </c>
    </row>
    <row r="11" customFormat="false" ht="23.85" hidden="false" customHeight="false" outlineLevel="0" collapsed="false">
      <c r="A11" s="2" t="n">
        <v>10</v>
      </c>
      <c r="B11" s="3" t="s">
        <v>46</v>
      </c>
      <c r="C11" s="3" t="s">
        <v>47</v>
      </c>
      <c r="D11" s="2" t="s">
        <v>37</v>
      </c>
      <c r="E11" s="2" t="s">
        <v>7</v>
      </c>
      <c r="F11" s="2" t="s">
        <v>39</v>
      </c>
      <c r="G11" s="2" t="s">
        <v>21</v>
      </c>
      <c r="H11" s="6" t="s">
        <v>34</v>
      </c>
      <c r="I11" s="4" t="s">
        <v>17</v>
      </c>
      <c r="J11" s="2" t="s">
        <v>18</v>
      </c>
    </row>
    <row r="12" customFormat="false" ht="23.85" hidden="false" customHeight="false" outlineLevel="0" collapsed="false">
      <c r="A12" s="2" t="n">
        <v>11</v>
      </c>
      <c r="B12" s="3" t="s">
        <v>48</v>
      </c>
      <c r="C12" s="3" t="s">
        <v>49</v>
      </c>
      <c r="D12" s="2" t="s">
        <v>50</v>
      </c>
      <c r="E12" s="2" t="s">
        <v>38</v>
      </c>
      <c r="F12" s="2" t="s">
        <v>51</v>
      </c>
      <c r="G12" s="2" t="s">
        <v>40</v>
      </c>
      <c r="H12" s="2" t="s">
        <v>16</v>
      </c>
      <c r="I12" s="4" t="s">
        <v>17</v>
      </c>
      <c r="J12" s="2" t="s">
        <v>18</v>
      </c>
    </row>
    <row r="13" customFormat="false" ht="23.85" hidden="false" customHeight="false" outlineLevel="0" collapsed="false">
      <c r="A13" s="2" t="n">
        <v>12</v>
      </c>
      <c r="B13" s="3" t="s">
        <v>52</v>
      </c>
      <c r="C13" s="3" t="s">
        <v>53</v>
      </c>
      <c r="D13" s="2" t="s">
        <v>50</v>
      </c>
      <c r="E13" s="2" t="s">
        <v>38</v>
      </c>
      <c r="F13" s="2" t="s">
        <v>51</v>
      </c>
      <c r="G13" s="2" t="s">
        <v>40</v>
      </c>
      <c r="H13" s="2" t="s">
        <v>16</v>
      </c>
      <c r="I13" s="5" t="s">
        <v>31</v>
      </c>
      <c r="J13" s="2" t="s">
        <v>18</v>
      </c>
    </row>
    <row r="14" customFormat="false" ht="23.85" hidden="false" customHeight="false" outlineLevel="0" collapsed="false">
      <c r="A14" s="2" t="n">
        <v>13</v>
      </c>
      <c r="B14" s="3" t="s">
        <v>54</v>
      </c>
      <c r="C14" s="3" t="s">
        <v>55</v>
      </c>
      <c r="D14" s="2" t="s">
        <v>56</v>
      </c>
      <c r="E14" s="2" t="s">
        <v>38</v>
      </c>
      <c r="F14" s="2" t="s">
        <v>57</v>
      </c>
      <c r="G14" s="2" t="s">
        <v>45</v>
      </c>
      <c r="H14" s="2" t="s">
        <v>16</v>
      </c>
      <c r="I14" s="4" t="s">
        <v>17</v>
      </c>
      <c r="J14" s="2" t="s">
        <v>18</v>
      </c>
    </row>
    <row r="15" customFormat="false" ht="23.85" hidden="false" customHeight="false" outlineLevel="0" collapsed="false">
      <c r="A15" s="2" t="n">
        <v>14</v>
      </c>
      <c r="B15" s="3" t="s">
        <v>58</v>
      </c>
      <c r="C15" s="3" t="s">
        <v>59</v>
      </c>
      <c r="D15" s="2" t="s">
        <v>56</v>
      </c>
      <c r="E15" s="2" t="s">
        <v>13</v>
      </c>
      <c r="F15" s="2" t="s">
        <v>57</v>
      </c>
      <c r="G15" s="2" t="s">
        <v>21</v>
      </c>
      <c r="H15" s="2" t="s">
        <v>16</v>
      </c>
      <c r="I15" s="4" t="s">
        <v>17</v>
      </c>
      <c r="J15" s="2" t="s">
        <v>18</v>
      </c>
    </row>
    <row r="16" customFormat="false" ht="23.85" hidden="false" customHeight="false" outlineLevel="0" collapsed="false">
      <c r="A16" s="2" t="n">
        <v>15</v>
      </c>
      <c r="B16" s="3" t="s">
        <v>60</v>
      </c>
      <c r="C16" s="3" t="s">
        <v>61</v>
      </c>
      <c r="D16" s="2" t="s">
        <v>56</v>
      </c>
      <c r="E16" s="2" t="s">
        <v>7</v>
      </c>
      <c r="F16" s="2" t="s">
        <v>57</v>
      </c>
      <c r="G16" s="2" t="s">
        <v>21</v>
      </c>
      <c r="H16" s="6" t="s">
        <v>34</v>
      </c>
      <c r="I16" s="4" t="s">
        <v>17</v>
      </c>
      <c r="J16" s="2" t="s">
        <v>18</v>
      </c>
    </row>
    <row r="17" customFormat="false" ht="23.85" hidden="false" customHeight="false" outlineLevel="0" collapsed="false">
      <c r="A17" s="2" t="n">
        <v>16</v>
      </c>
      <c r="B17" s="3" t="s">
        <v>62</v>
      </c>
      <c r="C17" s="3" t="s">
        <v>63</v>
      </c>
      <c r="D17" s="2" t="s">
        <v>56</v>
      </c>
      <c r="E17" s="2" t="s">
        <v>7</v>
      </c>
      <c r="F17" s="2" t="s">
        <v>57</v>
      </c>
      <c r="G17" s="2" t="s">
        <v>21</v>
      </c>
      <c r="H17" s="6" t="s">
        <v>34</v>
      </c>
      <c r="I17" s="5" t="s">
        <v>31</v>
      </c>
      <c r="J17" s="2" t="s">
        <v>18</v>
      </c>
    </row>
    <row r="18" customFormat="false" ht="23.85" hidden="false" customHeight="false" outlineLevel="0" collapsed="false">
      <c r="A18" s="2" t="n">
        <v>17</v>
      </c>
      <c r="B18" s="3" t="s">
        <v>64</v>
      </c>
      <c r="C18" s="3" t="s">
        <v>65</v>
      </c>
      <c r="D18" s="2" t="s">
        <v>66</v>
      </c>
      <c r="E18" s="2" t="s">
        <v>38</v>
      </c>
      <c r="F18" s="2" t="s">
        <v>67</v>
      </c>
      <c r="G18" s="2" t="s">
        <v>40</v>
      </c>
      <c r="H18" s="2" t="s">
        <v>16</v>
      </c>
      <c r="I18" s="4" t="s">
        <v>17</v>
      </c>
      <c r="J18" s="2" t="s">
        <v>18</v>
      </c>
    </row>
    <row r="19" customFormat="false" ht="23.85" hidden="false" customHeight="false" outlineLevel="0" collapsed="false">
      <c r="A19" s="2" t="n">
        <v>18</v>
      </c>
      <c r="B19" s="3" t="s">
        <v>68</v>
      </c>
      <c r="C19" s="3" t="s">
        <v>69</v>
      </c>
      <c r="D19" s="2" t="s">
        <v>66</v>
      </c>
      <c r="E19" s="2" t="s">
        <v>13</v>
      </c>
      <c r="F19" s="2" t="s">
        <v>67</v>
      </c>
      <c r="G19" s="2" t="s">
        <v>15</v>
      </c>
      <c r="H19" s="2" t="s">
        <v>16</v>
      </c>
      <c r="I19" s="4" t="s">
        <v>17</v>
      </c>
      <c r="J19" s="2" t="s">
        <v>18</v>
      </c>
    </row>
    <row r="20" customFormat="false" ht="23.85" hidden="false" customHeight="false" outlineLevel="0" collapsed="false">
      <c r="A20" s="2" t="n">
        <v>19</v>
      </c>
      <c r="B20" s="3" t="s">
        <v>70</v>
      </c>
      <c r="C20" s="3" t="s">
        <v>71</v>
      </c>
      <c r="D20" s="2" t="s">
        <v>72</v>
      </c>
      <c r="E20" s="2" t="s">
        <v>38</v>
      </c>
      <c r="F20" s="2" t="s">
        <v>73</v>
      </c>
      <c r="G20" s="2" t="s">
        <v>45</v>
      </c>
      <c r="H20" s="2" t="s">
        <v>16</v>
      </c>
      <c r="I20" s="4" t="s">
        <v>17</v>
      </c>
      <c r="J20" s="2" t="s">
        <v>18</v>
      </c>
    </row>
    <row r="21" customFormat="false" ht="23.85" hidden="false" customHeight="false" outlineLevel="0" collapsed="false">
      <c r="A21" s="2" t="n">
        <v>20</v>
      </c>
      <c r="B21" s="3" t="s">
        <v>74</v>
      </c>
      <c r="C21" s="3" t="s">
        <v>75</v>
      </c>
      <c r="D21" s="2" t="s">
        <v>72</v>
      </c>
      <c r="E21" s="2" t="s">
        <v>7</v>
      </c>
      <c r="F21" s="2" t="s">
        <v>73</v>
      </c>
      <c r="G21" s="2" t="s">
        <v>21</v>
      </c>
      <c r="H21" s="6" t="s">
        <v>34</v>
      </c>
      <c r="I21" s="4" t="s">
        <v>17</v>
      </c>
      <c r="J21" s="2" t="s">
        <v>18</v>
      </c>
    </row>
    <row r="22" customFormat="false" ht="23.85" hidden="false" customHeight="false" outlineLevel="0" collapsed="false">
      <c r="A22" s="2" t="n">
        <v>21</v>
      </c>
      <c r="B22" s="3" t="s">
        <v>76</v>
      </c>
      <c r="C22" s="3" t="s">
        <v>77</v>
      </c>
      <c r="D22" s="2" t="s">
        <v>72</v>
      </c>
      <c r="E22" s="2" t="s">
        <v>7</v>
      </c>
      <c r="F22" s="2" t="s">
        <v>73</v>
      </c>
      <c r="G22" s="2" t="s">
        <v>21</v>
      </c>
      <c r="H22" s="6" t="s">
        <v>34</v>
      </c>
      <c r="I22" s="5" t="s">
        <v>31</v>
      </c>
      <c r="J22" s="2" t="s">
        <v>18</v>
      </c>
    </row>
    <row r="23" customFormat="false" ht="23.85" hidden="false" customHeight="false" outlineLevel="0" collapsed="false">
      <c r="A23" s="2" t="n">
        <v>22</v>
      </c>
      <c r="B23" s="3" t="s">
        <v>78</v>
      </c>
      <c r="C23" s="3" t="s">
        <v>79</v>
      </c>
      <c r="D23" s="2" t="s">
        <v>80</v>
      </c>
      <c r="E23" s="2" t="s">
        <v>38</v>
      </c>
      <c r="F23" s="2" t="s">
        <v>81</v>
      </c>
      <c r="G23" s="2" t="s">
        <v>40</v>
      </c>
      <c r="H23" s="2" t="s">
        <v>16</v>
      </c>
      <c r="I23" s="4" t="s">
        <v>17</v>
      </c>
      <c r="J23" s="2" t="s">
        <v>18</v>
      </c>
    </row>
    <row r="24" customFormat="false" ht="23.85" hidden="false" customHeight="false" outlineLevel="0" collapsed="false">
      <c r="A24" s="2" t="n">
        <v>23</v>
      </c>
      <c r="B24" s="3" t="s">
        <v>82</v>
      </c>
      <c r="C24" s="3" t="s">
        <v>83</v>
      </c>
      <c r="D24" s="2" t="s">
        <v>80</v>
      </c>
      <c r="E24" s="2" t="s">
        <v>13</v>
      </c>
      <c r="F24" s="2" t="s">
        <v>81</v>
      </c>
      <c r="G24" s="2" t="s">
        <v>15</v>
      </c>
      <c r="H24" s="2" t="s">
        <v>16</v>
      </c>
      <c r="I24" s="4" t="s">
        <v>17</v>
      </c>
      <c r="J24" s="2" t="s">
        <v>18</v>
      </c>
    </row>
    <row r="25" customFormat="false" ht="23.85" hidden="false" customHeight="false" outlineLevel="0" collapsed="false">
      <c r="A25" s="2" t="n">
        <v>24</v>
      </c>
      <c r="B25" s="3" t="s">
        <v>84</v>
      </c>
      <c r="C25" s="3" t="s">
        <v>85</v>
      </c>
      <c r="D25" s="2" t="s">
        <v>86</v>
      </c>
      <c r="E25" s="2" t="s">
        <v>38</v>
      </c>
      <c r="F25" s="2" t="s">
        <v>87</v>
      </c>
      <c r="G25" s="2" t="s">
        <v>21</v>
      </c>
      <c r="H25" s="2" t="s">
        <v>16</v>
      </c>
      <c r="I25" s="5" t="s">
        <v>31</v>
      </c>
      <c r="J25" s="2" t="s">
        <v>18</v>
      </c>
    </row>
    <row r="26" customFormat="false" ht="23.85" hidden="false" customHeight="false" outlineLevel="0" collapsed="false">
      <c r="A26" s="2" t="n">
        <v>25</v>
      </c>
      <c r="B26" s="3" t="s">
        <v>88</v>
      </c>
      <c r="C26" s="3" t="s">
        <v>89</v>
      </c>
      <c r="D26" s="2" t="s">
        <v>86</v>
      </c>
      <c r="E26" s="2" t="s">
        <v>38</v>
      </c>
      <c r="F26" s="2" t="s">
        <v>87</v>
      </c>
      <c r="G26" s="2" t="s">
        <v>45</v>
      </c>
      <c r="H26" s="2" t="s">
        <v>16</v>
      </c>
      <c r="I26" s="4" t="s">
        <v>17</v>
      </c>
      <c r="J26" s="2" t="s">
        <v>18</v>
      </c>
    </row>
    <row r="27" customFormat="false" ht="23.85" hidden="false" customHeight="false" outlineLevel="0" collapsed="false">
      <c r="A27" s="2" t="n">
        <v>26</v>
      </c>
      <c r="B27" s="3" t="s">
        <v>90</v>
      </c>
      <c r="C27" s="3" t="s">
        <v>91</v>
      </c>
      <c r="D27" s="2" t="s">
        <v>86</v>
      </c>
      <c r="E27" s="2" t="s">
        <v>7</v>
      </c>
      <c r="F27" s="2" t="s">
        <v>87</v>
      </c>
      <c r="G27" s="2" t="s">
        <v>21</v>
      </c>
      <c r="H27" s="6" t="s">
        <v>34</v>
      </c>
      <c r="I27" s="4" t="s">
        <v>17</v>
      </c>
      <c r="J27" s="2" t="s">
        <v>18</v>
      </c>
    </row>
    <row r="28" customFormat="false" ht="23.85" hidden="false" customHeight="false" outlineLevel="0" collapsed="false">
      <c r="A28" s="2" t="n">
        <v>27</v>
      </c>
      <c r="B28" s="3" t="s">
        <v>92</v>
      </c>
      <c r="C28" s="3" t="s">
        <v>93</v>
      </c>
      <c r="D28" s="2" t="s">
        <v>86</v>
      </c>
      <c r="E28" s="2" t="s">
        <v>7</v>
      </c>
      <c r="F28" s="2" t="s">
        <v>87</v>
      </c>
      <c r="G28" s="2" t="s">
        <v>21</v>
      </c>
      <c r="H28" s="6" t="s">
        <v>34</v>
      </c>
      <c r="I28" s="5" t="s">
        <v>31</v>
      </c>
      <c r="J28" s="2" t="s">
        <v>18</v>
      </c>
    </row>
    <row r="29" customFormat="false" ht="23.85" hidden="false" customHeight="false" outlineLevel="0" collapsed="false">
      <c r="A29" s="2" t="n">
        <v>28</v>
      </c>
      <c r="B29" s="3" t="s">
        <v>94</v>
      </c>
      <c r="C29" s="3" t="s">
        <v>95</v>
      </c>
      <c r="D29" s="2" t="s">
        <v>96</v>
      </c>
      <c r="E29" s="2" t="s">
        <v>13</v>
      </c>
      <c r="F29" s="2" t="s">
        <v>97</v>
      </c>
      <c r="G29" s="2" t="s">
        <v>15</v>
      </c>
      <c r="H29" s="2" t="s">
        <v>16</v>
      </c>
      <c r="I29" s="4" t="s">
        <v>17</v>
      </c>
      <c r="J29" s="2" t="s">
        <v>18</v>
      </c>
    </row>
    <row r="30" customFormat="false" ht="23.85" hidden="false" customHeight="false" outlineLevel="0" collapsed="false">
      <c r="A30" s="2" t="n">
        <v>29</v>
      </c>
      <c r="B30" s="3" t="s">
        <v>98</v>
      </c>
      <c r="C30" s="3" t="s">
        <v>99</v>
      </c>
      <c r="D30" s="2" t="s">
        <v>96</v>
      </c>
      <c r="E30" s="2" t="s">
        <v>13</v>
      </c>
      <c r="F30" s="2" t="s">
        <v>97</v>
      </c>
      <c r="G30" s="2" t="s">
        <v>15</v>
      </c>
      <c r="H30" s="2" t="s">
        <v>16</v>
      </c>
      <c r="I30" s="4" t="s">
        <v>17</v>
      </c>
      <c r="J30" s="2" t="s">
        <v>18</v>
      </c>
    </row>
    <row r="31" customFormat="false" ht="23.85" hidden="false" customHeight="false" outlineLevel="0" collapsed="false">
      <c r="A31" s="2" t="n">
        <v>30</v>
      </c>
      <c r="B31" s="3" t="s">
        <v>100</v>
      </c>
      <c r="C31" s="3" t="s">
        <v>101</v>
      </c>
      <c r="D31" s="2" t="s">
        <v>102</v>
      </c>
      <c r="E31" s="2" t="s">
        <v>38</v>
      </c>
      <c r="F31" s="2" t="s">
        <v>103</v>
      </c>
      <c r="G31" s="2" t="s">
        <v>40</v>
      </c>
      <c r="H31" s="2" t="s">
        <v>16</v>
      </c>
      <c r="I31" s="4" t="s">
        <v>17</v>
      </c>
      <c r="J31" s="2" t="s">
        <v>18</v>
      </c>
    </row>
    <row r="32" customFormat="false" ht="23.85" hidden="false" customHeight="false" outlineLevel="0" collapsed="false">
      <c r="A32" s="2" t="n">
        <v>31</v>
      </c>
      <c r="B32" s="3" t="s">
        <v>104</v>
      </c>
      <c r="C32" s="3" t="s">
        <v>105</v>
      </c>
      <c r="D32" s="2" t="s">
        <v>106</v>
      </c>
      <c r="E32" s="2" t="s">
        <v>38</v>
      </c>
      <c r="F32" s="2" t="s">
        <v>107</v>
      </c>
      <c r="G32" s="2" t="s">
        <v>45</v>
      </c>
      <c r="H32" s="2" t="s">
        <v>16</v>
      </c>
      <c r="I32" s="4" t="s">
        <v>17</v>
      </c>
      <c r="J32" s="2" t="s">
        <v>18</v>
      </c>
    </row>
    <row r="33" customFormat="false" ht="15" hidden="false" customHeight="false" outlineLevel="0" collapsed="false">
      <c r="A33" s="2" t="n">
        <v>32</v>
      </c>
      <c r="B33" s="3" t="s">
        <v>108</v>
      </c>
      <c r="C33" s="3" t="s">
        <v>109</v>
      </c>
      <c r="D33" s="2" t="s">
        <v>106</v>
      </c>
      <c r="E33" s="2" t="s">
        <v>7</v>
      </c>
      <c r="F33" s="2" t="s">
        <v>107</v>
      </c>
      <c r="G33" s="2" t="s">
        <v>21</v>
      </c>
      <c r="H33" s="6" t="s">
        <v>34</v>
      </c>
      <c r="I33" s="4" t="s">
        <v>17</v>
      </c>
      <c r="J33" s="2" t="s">
        <v>18</v>
      </c>
    </row>
    <row r="34" customFormat="false" ht="23.85" hidden="false" customHeight="false" outlineLevel="0" collapsed="false">
      <c r="A34" s="2" t="n">
        <v>33</v>
      </c>
      <c r="B34" s="3" t="s">
        <v>110</v>
      </c>
      <c r="C34" s="3" t="s">
        <v>111</v>
      </c>
      <c r="D34" s="2" t="s">
        <v>106</v>
      </c>
      <c r="E34" s="2" t="s">
        <v>7</v>
      </c>
      <c r="F34" s="2" t="s">
        <v>107</v>
      </c>
      <c r="G34" s="2" t="s">
        <v>15</v>
      </c>
      <c r="H34" s="6" t="s">
        <v>34</v>
      </c>
      <c r="I34" s="5" t="s">
        <v>31</v>
      </c>
      <c r="J34" s="2" t="s">
        <v>18</v>
      </c>
    </row>
    <row r="35" customFormat="false" ht="23.85" hidden="false" customHeight="false" outlineLevel="0" collapsed="false">
      <c r="A35" s="2" t="n">
        <v>34</v>
      </c>
      <c r="B35" s="3" t="s">
        <v>112</v>
      </c>
      <c r="C35" s="3" t="s">
        <v>113</v>
      </c>
      <c r="D35" s="2" t="s">
        <v>114</v>
      </c>
      <c r="E35" s="2" t="s">
        <v>38</v>
      </c>
      <c r="F35" s="2" t="s">
        <v>115</v>
      </c>
      <c r="G35" s="2" t="s">
        <v>40</v>
      </c>
      <c r="H35" s="2" t="s">
        <v>16</v>
      </c>
      <c r="I35" s="4" t="s">
        <v>17</v>
      </c>
      <c r="J35" s="2" t="s">
        <v>18</v>
      </c>
    </row>
    <row r="36" customFormat="false" ht="23.85" hidden="false" customHeight="false" outlineLevel="0" collapsed="false">
      <c r="A36" s="2" t="n">
        <v>35</v>
      </c>
      <c r="B36" s="3" t="s">
        <v>116</v>
      </c>
      <c r="C36" s="3" t="s">
        <v>117</v>
      </c>
      <c r="D36" s="2" t="s">
        <v>114</v>
      </c>
      <c r="E36" s="2" t="s">
        <v>38</v>
      </c>
      <c r="F36" s="2" t="s">
        <v>115</v>
      </c>
      <c r="G36" s="2" t="s">
        <v>45</v>
      </c>
      <c r="H36" s="2" t="s">
        <v>16</v>
      </c>
      <c r="I36" s="4" t="s">
        <v>17</v>
      </c>
      <c r="J36" s="2" t="s">
        <v>18</v>
      </c>
    </row>
    <row r="37" customFormat="false" ht="23.85" hidden="false" customHeight="false" outlineLevel="0" collapsed="false">
      <c r="A37" s="2" t="n">
        <v>36</v>
      </c>
      <c r="B37" s="3" t="s">
        <v>118</v>
      </c>
      <c r="C37" s="3" t="s">
        <v>119</v>
      </c>
      <c r="D37" s="2" t="s">
        <v>120</v>
      </c>
      <c r="E37" s="2" t="s">
        <v>121</v>
      </c>
      <c r="F37" s="2" t="s">
        <v>122</v>
      </c>
      <c r="G37" s="2" t="s">
        <v>15</v>
      </c>
      <c r="H37" s="2" t="s">
        <v>16</v>
      </c>
      <c r="I37" s="4" t="s">
        <v>17</v>
      </c>
      <c r="J37" s="2" t="s">
        <v>18</v>
      </c>
    </row>
    <row r="38" customFormat="false" ht="23.85" hidden="false" customHeight="false" outlineLevel="0" collapsed="false">
      <c r="A38" s="2" t="n">
        <v>37</v>
      </c>
      <c r="B38" s="3" t="s">
        <v>123</v>
      </c>
      <c r="C38" s="3" t="s">
        <v>124</v>
      </c>
      <c r="D38" s="2" t="s">
        <v>120</v>
      </c>
      <c r="E38" s="2" t="s">
        <v>121</v>
      </c>
      <c r="F38" s="2" t="s">
        <v>122</v>
      </c>
      <c r="G38" s="2" t="s">
        <v>15</v>
      </c>
      <c r="H38" s="2" t="s">
        <v>16</v>
      </c>
      <c r="I38" s="5" t="s">
        <v>31</v>
      </c>
      <c r="J38" s="2" t="s">
        <v>18</v>
      </c>
    </row>
    <row r="39" customFormat="false" ht="23.85" hidden="false" customHeight="false" outlineLevel="0" collapsed="false">
      <c r="A39" s="2" t="n">
        <v>38</v>
      </c>
      <c r="B39" s="3" t="s">
        <v>125</v>
      </c>
      <c r="C39" s="3" t="s">
        <v>126</v>
      </c>
      <c r="D39" s="2" t="s">
        <v>120</v>
      </c>
      <c r="E39" s="2" t="s">
        <v>121</v>
      </c>
      <c r="F39" s="2" t="s">
        <v>122</v>
      </c>
      <c r="G39" s="2" t="s">
        <v>15</v>
      </c>
      <c r="H39" s="2" t="s">
        <v>16</v>
      </c>
      <c r="I39" s="5" t="s">
        <v>31</v>
      </c>
      <c r="J39" s="2" t="s">
        <v>18</v>
      </c>
    </row>
    <row r="40" customFormat="false" ht="23.85" hidden="false" customHeight="false" outlineLevel="0" collapsed="false">
      <c r="A40" s="2" t="n">
        <v>39</v>
      </c>
      <c r="B40" s="3" t="s">
        <v>127</v>
      </c>
      <c r="C40" s="3" t="s">
        <v>128</v>
      </c>
      <c r="D40" s="2" t="s">
        <v>120</v>
      </c>
      <c r="E40" s="2" t="s">
        <v>7</v>
      </c>
      <c r="F40" s="2" t="s">
        <v>122</v>
      </c>
      <c r="G40" s="2" t="s">
        <v>21</v>
      </c>
      <c r="H40" s="6" t="s">
        <v>34</v>
      </c>
      <c r="I40" s="4" t="s">
        <v>17</v>
      </c>
      <c r="J40" s="2" t="s">
        <v>18</v>
      </c>
    </row>
    <row r="41" customFormat="false" ht="23.85" hidden="false" customHeight="false" outlineLevel="0" collapsed="false">
      <c r="A41" s="2" t="n">
        <v>40</v>
      </c>
      <c r="B41" s="3" t="s">
        <v>129</v>
      </c>
      <c r="C41" s="3" t="s">
        <v>130</v>
      </c>
      <c r="D41" s="2" t="s">
        <v>131</v>
      </c>
      <c r="E41" s="2" t="s">
        <v>132</v>
      </c>
      <c r="F41" s="2"/>
      <c r="G41" s="2" t="s">
        <v>40</v>
      </c>
      <c r="H41" s="2" t="s">
        <v>16</v>
      </c>
      <c r="I41" s="7" t="s">
        <v>133</v>
      </c>
      <c r="J41" s="2" t="s">
        <v>18</v>
      </c>
    </row>
    <row r="42" customFormat="false" ht="23.85" hidden="false" customHeight="false" outlineLevel="0" collapsed="false">
      <c r="A42" s="2" t="n">
        <v>41</v>
      </c>
      <c r="B42" s="3" t="s">
        <v>134</v>
      </c>
      <c r="C42" s="3" t="s">
        <v>135</v>
      </c>
      <c r="D42" s="2" t="s">
        <v>131</v>
      </c>
      <c r="E42" s="2" t="s">
        <v>132</v>
      </c>
      <c r="F42" s="2"/>
      <c r="G42" s="2" t="s">
        <v>40</v>
      </c>
      <c r="H42" s="2" t="s">
        <v>16</v>
      </c>
      <c r="I42" s="7" t="s">
        <v>133</v>
      </c>
      <c r="J42" s="2" t="s">
        <v>18</v>
      </c>
    </row>
  </sheetData>
  <autoFilter ref="A1:J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8" t="s">
        <v>136</v>
      </c>
    </row>
    <row r="3" customFormat="false" ht="15" hidden="false" customHeight="false" outlineLevel="0" collapsed="false">
      <c r="A3" s="9" t="s">
        <v>137</v>
      </c>
      <c r="B3" s="10" t="s">
        <v>138</v>
      </c>
    </row>
    <row r="4" customFormat="false" ht="15" hidden="false" customHeight="false" outlineLevel="0" collapsed="false">
      <c r="A4" s="9" t="s">
        <v>139</v>
      </c>
      <c r="B4" s="10" t="s">
        <v>140</v>
      </c>
    </row>
    <row r="5" customFormat="false" ht="15" hidden="false" customHeight="false" outlineLevel="0" collapsed="false">
      <c r="A5" s="9" t="s">
        <v>141</v>
      </c>
      <c r="B5" s="10" t="s">
        <v>142</v>
      </c>
    </row>
    <row r="6" customFormat="false" ht="15" hidden="false" customHeight="false" outlineLevel="0" collapsed="false">
      <c r="A6" s="9" t="s">
        <v>143</v>
      </c>
      <c r="B6" s="10" t="s">
        <v>144</v>
      </c>
    </row>
    <row r="7" customFormat="false" ht="15" hidden="false" customHeight="false" outlineLevel="0" collapsed="false">
      <c r="A7" s="9" t="s">
        <v>145</v>
      </c>
      <c r="B7" s="10" t="s">
        <v>146</v>
      </c>
    </row>
    <row r="8" customFormat="false" ht="15" hidden="false" customHeight="false" outlineLevel="0" collapsed="false">
      <c r="A8" s="9" t="s">
        <v>147</v>
      </c>
      <c r="B8" s="10" t="n">
        <f aca="false">COUNTA('Plan de Estudio'!A2:A42)</f>
        <v>41</v>
      </c>
    </row>
    <row r="9" customFormat="false" ht="15" hidden="false" customHeight="false" outlineLevel="0" collapsed="false">
      <c r="A9" s="9" t="s">
        <v>148</v>
      </c>
      <c r="B9" s="10" t="n">
        <f aca="false">COUNTIF('Plan de Estudio'!H2:H42,"Sí")</f>
        <v>11</v>
      </c>
    </row>
    <row r="10" customFormat="false" ht="15" hidden="false" customHeight="false" outlineLevel="0" collapsed="false">
      <c r="A10" s="9" t="s">
        <v>149</v>
      </c>
      <c r="B10" s="10" t="n">
        <f aca="false">COUNTIF('Plan de Estudio'!I2:I42,"Alta")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2026-06-25T19:21:47Z</dcterms:created>
  <dc:creator>openpyxl</dc:creator>
  <dc:description/>
  <dc:language>en-US</dc:language>
  <cp:lastModifiedBy/>
  <dcterms:modified xsi:type="dcterms:W3CDTF">2026-06-25T19:21:47Z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